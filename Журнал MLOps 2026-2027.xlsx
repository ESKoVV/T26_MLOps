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КАФЕДРА_T-University\2026-2027\MLOps\T26УПМО-Т.МО41\"/>
    </mc:Choice>
  </mc:AlternateContent>
  <bookViews>
    <workbookView xWindow="0" yWindow="0" windowWidth="22476" windowHeight="13356"/>
  </bookViews>
  <sheets>
    <sheet name="Сводка" sheetId="1" r:id="rId1"/>
    <sheet name="Студенты" sheetId="2" r:id="rId2"/>
    <sheet name="Команды" sheetId="3" r:id="rId3"/>
    <sheet name="Лабораторные" sheetId="4" r:id="rId4"/>
  </sheets>
  <calcPr calcId="162913" forceFullCalc="1"/>
</workbook>
</file>

<file path=xl/calcChain.xml><?xml version="1.0" encoding="utf-8"?>
<calcChain xmlns="http://schemas.openxmlformats.org/spreadsheetml/2006/main">
  <c r="X15" i="3" l="1"/>
  <c r="D15" i="3"/>
  <c r="E15" i="3" s="1"/>
  <c r="X14" i="3"/>
  <c r="D14" i="3"/>
  <c r="E14" i="3" s="1"/>
  <c r="X13" i="3"/>
  <c r="D13" i="3"/>
  <c r="E13" i="3" s="1"/>
  <c r="X12" i="3"/>
  <c r="D12" i="3"/>
  <c r="E12" i="3" s="1"/>
  <c r="X11" i="3"/>
  <c r="E11" i="3"/>
  <c r="D11" i="3"/>
  <c r="X10" i="3"/>
  <c r="D10" i="3"/>
  <c r="E10" i="3" s="1"/>
  <c r="X9" i="3"/>
  <c r="D9" i="3"/>
  <c r="X8" i="3"/>
  <c r="D8" i="3"/>
  <c r="E8" i="3" s="1"/>
  <c r="X7" i="3"/>
  <c r="E7" i="3"/>
  <c r="D7" i="3"/>
  <c r="X6" i="3"/>
  <c r="D6" i="3"/>
  <c r="E6" i="3" s="1"/>
  <c r="I45" i="2"/>
  <c r="J45" i="2" s="1"/>
  <c r="G45" i="2"/>
  <c r="I44" i="2"/>
  <c r="J44" i="2" s="1"/>
  <c r="G44" i="2"/>
  <c r="J43" i="2"/>
  <c r="I43" i="2"/>
  <c r="G43" i="2"/>
  <c r="I42" i="2"/>
  <c r="J42" i="2" s="1"/>
  <c r="G42" i="2"/>
  <c r="I41" i="2"/>
  <c r="J41" i="2" s="1"/>
  <c r="G41" i="2"/>
  <c r="I40" i="2"/>
  <c r="J40" i="2" s="1"/>
  <c r="G40" i="2"/>
  <c r="I39" i="2"/>
  <c r="J39" i="2" s="1"/>
  <c r="G39" i="2"/>
  <c r="J38" i="2"/>
  <c r="I38" i="2"/>
  <c r="G38" i="2"/>
  <c r="I37" i="2"/>
  <c r="J37" i="2" s="1"/>
  <c r="G37" i="2"/>
  <c r="I36" i="2"/>
  <c r="J36" i="2" s="1"/>
  <c r="G36" i="2"/>
  <c r="J35" i="2"/>
  <c r="I35" i="2"/>
  <c r="G35" i="2"/>
  <c r="I34" i="2"/>
  <c r="J34" i="2" s="1"/>
  <c r="G34" i="2"/>
  <c r="J33" i="2"/>
  <c r="I33" i="2"/>
  <c r="G33" i="2"/>
  <c r="I32" i="2"/>
  <c r="J32" i="2" s="1"/>
  <c r="G32" i="2"/>
  <c r="I31" i="2"/>
  <c r="J31" i="2" s="1"/>
  <c r="G31" i="2"/>
  <c r="J30" i="2"/>
  <c r="I30" i="2"/>
  <c r="G30" i="2"/>
  <c r="I29" i="2"/>
  <c r="J29" i="2" s="1"/>
  <c r="G29" i="2"/>
  <c r="I28" i="2"/>
  <c r="J28" i="2" s="1"/>
  <c r="G28" i="2"/>
  <c r="I27" i="2"/>
  <c r="J27" i="2" s="1"/>
  <c r="G27" i="2"/>
  <c r="I26" i="2"/>
  <c r="J26" i="2" s="1"/>
  <c r="G26" i="2"/>
  <c r="I25" i="2"/>
  <c r="J25" i="2" s="1"/>
  <c r="G25" i="2"/>
  <c r="I24" i="2"/>
  <c r="J24" i="2" s="1"/>
  <c r="G24" i="2"/>
  <c r="I23" i="2"/>
  <c r="J23" i="2" s="1"/>
  <c r="G23" i="2"/>
  <c r="I22" i="2"/>
  <c r="J22" i="2" s="1"/>
  <c r="G22" i="2"/>
  <c r="I21" i="2"/>
  <c r="J21" i="2" s="1"/>
  <c r="G21" i="2"/>
  <c r="I20" i="2"/>
  <c r="J20" i="2" s="1"/>
  <c r="G20" i="2"/>
  <c r="I19" i="2"/>
  <c r="J19" i="2" s="1"/>
  <c r="G19" i="2"/>
  <c r="I18" i="2"/>
  <c r="J18" i="2" s="1"/>
  <c r="G18" i="2"/>
  <c r="J17" i="2"/>
  <c r="I17" i="2"/>
  <c r="G17" i="2"/>
  <c r="I16" i="2"/>
  <c r="J16" i="2" s="1"/>
  <c r="G16" i="2"/>
  <c r="I15" i="2"/>
  <c r="J15" i="2" s="1"/>
  <c r="G15" i="2"/>
  <c r="I14" i="2"/>
  <c r="J14" i="2" s="1"/>
  <c r="G14" i="2"/>
  <c r="I13" i="2"/>
  <c r="J13" i="2" s="1"/>
  <c r="G13" i="2"/>
  <c r="I12" i="2"/>
  <c r="J12" i="2" s="1"/>
  <c r="G12" i="2"/>
  <c r="J11" i="2"/>
  <c r="I11" i="2"/>
  <c r="G11" i="2"/>
  <c r="I10" i="2"/>
  <c r="J10" i="2" s="1"/>
  <c r="G10" i="2"/>
  <c r="I9" i="2"/>
  <c r="J9" i="2" s="1"/>
  <c r="G9" i="2"/>
  <c r="I8" i="2"/>
  <c r="J8" i="2" s="1"/>
  <c r="G8" i="2"/>
  <c r="I7" i="2"/>
  <c r="J7" i="2" s="1"/>
  <c r="G7" i="2"/>
  <c r="I6" i="2"/>
  <c r="J6" i="2" s="1"/>
  <c r="G6" i="2"/>
  <c r="B10" i="1"/>
  <c r="B6" i="1"/>
  <c r="B7" i="1" l="1"/>
  <c r="E9" i="3"/>
  <c r="B8" i="1"/>
  <c r="B9" i="1"/>
</calcChain>
</file>

<file path=xl/sharedStrings.xml><?xml version="1.0" encoding="utf-8"?>
<sst xmlns="http://schemas.openxmlformats.org/spreadsheetml/2006/main" count="120" uniqueCount="118">
  <si>
    <t>Журнал курса MLOps 2026–2027</t>
  </si>
  <si>
    <t>Поток от 30 студентов, 16 лабораторных работ, команды по 2–5 человек</t>
  </si>
  <si>
    <t>Показатель</t>
  </si>
  <si>
    <t>Значение</t>
  </si>
  <si>
    <t>Студентов внесено</t>
  </si>
  <si>
    <t>Команд с участниками</t>
  </si>
  <si>
    <t>Команд корректного размера</t>
  </si>
  <si>
    <t>Команд с нарушением размера</t>
  </si>
  <si>
    <t>Студентов без команды</t>
  </si>
  <si>
    <t>Правило</t>
  </si>
  <si>
    <t>Минимум</t>
  </si>
  <si>
    <t>Максимум</t>
  </si>
  <si>
    <t>Контроль</t>
  </si>
  <si>
    <t>Размер команды</t>
  </si>
  <si>
    <t>Автоматически на листе Команды</t>
  </si>
  <si>
    <t>Количество студентов</t>
  </si>
  <si>
    <t>Шаблон рассчитан на 40 строк</t>
  </si>
  <si>
    <t>Команд в базовой конфигурации</t>
  </si>
  <si>
    <t>Для 30 студентов: 6×4 и 2×3</t>
  </si>
  <si>
    <t>Лабораторных работ</t>
  </si>
  <si>
    <t>ЛР16 включает итоговую интеграцию и индивидуальную защиту</t>
  </si>
  <si>
    <t>Минимум по лабораторной</t>
  </si>
  <si>
    <t>Командный результат плюс индивидуальная защита</t>
  </si>
  <si>
    <t>Порядок заполнения</t>
  </si>
  <si>
    <t>1. Внести ФИО и группу на листе Студенты.</t>
  </si>
  <si>
    <t>2. Назначить номер команды и текущую роль.</t>
  </si>
  <si>
    <t>3. На листе Команды указать трек, тему и репозиторий.</t>
  </si>
  <si>
    <t>4. После защиты вносить командные баллы по лабораторным и индивидуальный коэффициент.</t>
  </si>
  <si>
    <t>Студенты и индивидуальный вклад</t>
  </si>
  <si>
    <t>Желтые поля заполняет преподаватель. Номер команды должен быть от 1 до 10.</t>
  </si>
  <si>
    <t>№</t>
  </si>
  <si>
    <t>ФИО</t>
  </si>
  <si>
    <t>Группа</t>
  </si>
  <si>
    <t>Команда</t>
  </si>
  <si>
    <t>Текущая роль</t>
  </si>
  <si>
    <t>Git логин</t>
  </si>
  <si>
    <t>Статус</t>
  </si>
  <si>
    <t>Индив. коэффициент</t>
  </si>
  <si>
    <t>Командный средний балл</t>
  </si>
  <si>
    <t>Итог по лабораторным</t>
  </si>
  <si>
    <t>Команды и проектные треки</t>
  </si>
  <si>
    <t>Размер команды рассчитывается по листу Студенты. Допустимо от 2 до 5 человек.</t>
  </si>
  <si>
    <t>Трек</t>
  </si>
  <si>
    <t>Тема проекта</t>
  </si>
  <si>
    <t>Участников</t>
  </si>
  <si>
    <t>Размер</t>
  </si>
  <si>
    <t>Репозиторий</t>
  </si>
  <si>
    <t>ЛР 1</t>
  </si>
  <si>
    <t>ЛР 2</t>
  </si>
  <si>
    <t>ЛР 3</t>
  </si>
  <si>
    <t>ЛР 4</t>
  </si>
  <si>
    <t>ЛР 5</t>
  </si>
  <si>
    <t>ЛР 6</t>
  </si>
  <si>
    <t>ЛР 7</t>
  </si>
  <si>
    <t>ЛР 8</t>
  </si>
  <si>
    <t>ЛР 9</t>
  </si>
  <si>
    <t>ЛР 10</t>
  </si>
  <si>
    <t>ЛР 11</t>
  </si>
  <si>
    <t>ЛР 12</t>
  </si>
  <si>
    <t>ЛР 13</t>
  </si>
  <si>
    <t>ЛР 14</t>
  </si>
  <si>
    <t>ЛР 15</t>
  </si>
  <si>
    <t>ЛР 16</t>
  </si>
  <si>
    <t>Примечание</t>
  </si>
  <si>
    <t>Средний балл</t>
  </si>
  <si>
    <t>16 лабораторных работ со сквозным проектом и индивидуальной защитой</t>
  </si>
  <si>
    <t>Лабораторная работа</t>
  </si>
  <si>
    <t>Ключевой артефакт</t>
  </si>
  <si>
    <t>Стоп фактор</t>
  </si>
  <si>
    <t>Неделя</t>
  </si>
  <si>
    <t>Репозиторий, роли и воспроизводимая среда</t>
  </si>
  <si>
    <t>README, роли, личные PR и review</t>
  </si>
  <si>
    <t>Прямой push или невоспроизводимый запуск</t>
  </si>
  <si>
    <t>Контракт данных и проверки качества</t>
  </si>
  <si>
    <t>Data card, schema, validation report</t>
  </si>
  <si>
    <t>Источник или качество данных не прослеживаются</t>
  </si>
  <si>
    <t>Версионирование данных и DVC</t>
  </si>
  <si>
    <t>DVC-метаданные, remote, протокол восстановления</t>
  </si>
  <si>
    <t>Pipeline не восстанавливается через dvc repro</t>
  </si>
  <si>
    <t>MLflow Tracking и эксперименты</t>
  </si>
  <si>
    <t>MLflow runs, параметры, метрики, артефакты</t>
  </si>
  <si>
    <t>Run не связан с кодом или данными</t>
  </si>
  <si>
    <t>Тестирование данных, модели и pipeline</t>
  </si>
  <si>
    <t>pytest, fixtures, положительный и отрицательный отчёты</t>
  </si>
  <si>
    <t>Проверки не подтверждают контракт</t>
  </si>
  <si>
    <t>Контейнеризация и управление средой</t>
  </si>
  <si>
    <t>Dockerfile, compose.yaml, воспроизводимая сборка</t>
  </si>
  <si>
    <t>Образ не воспроизводится или сервис не запускается</t>
  </si>
  <si>
    <t>Сервис предсказаний и контракт API</t>
  </si>
  <si>
    <t>FastAPI, OpenAPI, негативные тесты</t>
  </si>
  <si>
    <t>Нет валидации или типизированного контракта</t>
  </si>
  <si>
    <t>Непрерывная интеграция и quality gates</t>
  </si>
  <si>
    <t>GitHub Actions, lint, тесты, два запуска CI</t>
  </si>
  <si>
    <t>Merge возможен при failed checks</t>
  </si>
  <si>
    <t>Оркестрация обучения и обработка отказов</t>
  </si>
  <si>
    <t>Prefect flow, retries, журнал запуска</t>
  </si>
  <si>
    <t>Неидемпотентный run или неясный отказ</t>
  </si>
  <si>
    <t>MLflow Registry и управляемый выпуск</t>
  </si>
  <si>
    <t>Aliases/tags, release manifest, rollback</t>
  </si>
  <si>
    <t>Нет quality gate или rollback</t>
  </si>
  <si>
    <t>Наблюдаемость ML-сервиса</t>
  </si>
  <si>
    <t>Metrics, logs, dashboard, SLI/SLO</t>
  </si>
  <si>
    <t>Сбой нельзя диагностировать</t>
  </si>
  <si>
    <t>Drift, delayed labels и реакция</t>
  </si>
  <si>
    <t>Report, policy, gate, runbook</t>
  </si>
  <si>
    <t>Реакция на drift неуправляема</t>
  </si>
  <si>
    <t>Согласованность признаков и Feature Store</t>
  </si>
  <si>
    <t>Point-in-time test, audit join, вывод</t>
  </si>
  <si>
    <t>Используются будущие данные</t>
  </si>
  <si>
    <t>Документация, безопасность и Responsible AI</t>
  </si>
  <si>
    <t>Model card, grouped metrics, threat model</t>
  </si>
  <si>
    <t>Секреты, лицензии или риски не контролируются</t>
  </si>
  <si>
    <t>Масштабирование, стоимость и обзор LLMOps</t>
  </si>
  <si>
    <t>Load protocol, capacity/cost decision</t>
  </si>
  <si>
    <t>Нет доказуемого решения о ресурсах</t>
  </si>
  <si>
    <t>Интеграционный релиз и индивидуальная защита</t>
  </si>
  <si>
    <t>E2E demo, release manifest, evidence cards</t>
  </si>
  <si>
    <t>Невоспроизводимая система или не подтверждён вклад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</si>
</sst>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rlito"/>
    </font>
    <font>
      <sz val="10"/>
      <color rgb="FF000000"/>
      <name val="Arial"/>
    </font>
    <font>
      <b/>
      <sz val="15"/>
      <color rgb="FF000000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b/>
      <sz val="12"/>
      <color rgb="FF000000"/>
      <name val="Arial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3F8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vertical="center"/>
    </xf>
    <xf numFmtId="0" fontId="1" fillId="3" borderId="2" xfId="1" applyFont="1" applyFill="1" applyBorder="1" applyAlignment="1">
      <alignment vertical="center"/>
    </xf>
    <xf numFmtId="1" fontId="1" fillId="0" borderId="2" xfId="1" applyNumberFormat="1" applyFont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1" fillId="4" borderId="2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2" fontId="1" fillId="4" borderId="2" xfId="1" applyNumberFormat="1" applyFont="1" applyFill="1" applyBorder="1" applyAlignment="1">
      <alignment vertical="center"/>
    </xf>
    <xf numFmtId="2" fontId="1" fillId="3" borderId="2" xfId="1" applyNumberFormat="1" applyFont="1" applyFill="1" applyBorder="1" applyAlignment="1">
      <alignment vertical="center"/>
    </xf>
    <xf numFmtId="0" fontId="1" fillId="0" borderId="2" xfId="1" applyFont="1" applyBorder="1" applyAlignment="1">
      <alignment vertical="top" wrapText="1"/>
    </xf>
  </cellXfs>
  <cellStyles count="2">
    <cellStyle name="Normal" xfId="1"/>
    <cellStyle name="Обычный" xfId="0" builtinId="0"/>
  </cellStyles>
  <dxfs count="4"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0"/>
  <sheetViews>
    <sheetView showGridLines="0" tabSelected="1" workbookViewId="0"/>
  </sheetViews>
  <sheetFormatPr defaultRowHeight="13.8"/>
  <cols>
    <col min="1" max="1" width="34" customWidth="1"/>
    <col min="2" max="2" width="16" customWidth="1"/>
    <col min="3" max="3" width="15" customWidth="1"/>
    <col min="4" max="4" width="48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" t="s">
        <v>2</v>
      </c>
      <c r="B5" s="4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 t="s">
        <v>4</v>
      </c>
      <c r="B6" s="7">
        <f>COUNTA(Студенты!B6:B45)</f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 t="s">
        <v>5</v>
      </c>
      <c r="B7" s="7">
        <f>COUNTIF(Команды!D6:D15,"&gt;0")</f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 t="s">
        <v>6</v>
      </c>
      <c r="B8" s="7">
        <f>COUNTIF(Команды!E6:E15,"OK")</f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 t="s">
        <v>7</v>
      </c>
      <c r="B9" s="7">
        <f>COUNTIF(Команды!E6:E15,"Проверить")</f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 t="s">
        <v>8</v>
      </c>
      <c r="B10" s="7">
        <f>COUNTIFS(Студенты!B6:B45,"&lt;&gt;",Студенты!D6:D45,"")</f>
        <v>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 t="s">
        <v>9</v>
      </c>
      <c r="B12" s="4" t="s">
        <v>10</v>
      </c>
      <c r="C12" s="4" t="s">
        <v>11</v>
      </c>
      <c r="D12" s="4" t="s">
        <v>12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8" t="s">
        <v>13</v>
      </c>
      <c r="B13" s="8">
        <v>2</v>
      </c>
      <c r="C13" s="8">
        <v>5</v>
      </c>
      <c r="D13" s="8" t="s">
        <v>14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8" t="s">
        <v>15</v>
      </c>
      <c r="B14" s="8">
        <v>30</v>
      </c>
      <c r="C14" s="8">
        <v>40</v>
      </c>
      <c r="D14" s="8" t="s">
        <v>16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8" t="s">
        <v>17</v>
      </c>
      <c r="B15" s="8">
        <v>8</v>
      </c>
      <c r="C15" s="8">
        <v>8</v>
      </c>
      <c r="D15" s="8" t="s">
        <v>18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4">
      <c r="A16" s="8" t="s">
        <v>19</v>
      </c>
      <c r="B16" s="8">
        <v>16</v>
      </c>
      <c r="C16" s="8">
        <v>16</v>
      </c>
      <c r="D16" s="8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8" t="s">
        <v>21</v>
      </c>
      <c r="B17" s="8">
        <v>6</v>
      </c>
      <c r="C17" s="8">
        <v>10</v>
      </c>
      <c r="D17" s="8" t="s">
        <v>22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customHeight="1">
      <c r="A19" s="9" t="s">
        <v>23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4" customHeight="1">
      <c r="A20" s="10" t="s">
        <v>24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4" customHeight="1">
      <c r="A21" s="10" t="s">
        <v>25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4" customHeight="1">
      <c r="A22" s="10" t="s">
        <v>26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6" customHeight="1">
      <c r="A23" s="10" t="s">
        <v>27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</sheetData>
  <conditionalFormatting sqref="B9:B10">
    <cfRule type="cellIs" dxfId="3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6" customWidth="1"/>
    <col min="2" max="2" width="32" customWidth="1"/>
    <col min="3" max="3" width="14" customWidth="1"/>
    <col min="4" max="4" width="10" customWidth="1"/>
    <col min="5" max="5" width="34" customWidth="1"/>
    <col min="6" max="6" width="18" customWidth="1"/>
    <col min="7" max="7" width="16" customWidth="1"/>
    <col min="8" max="8" width="18" customWidth="1"/>
    <col min="9" max="10" width="20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 customHeight="1">
      <c r="A2" s="2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4" customHeight="1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38</v>
      </c>
      <c r="J5" s="4" t="s">
        <v>39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5">
        <v>1</v>
      </c>
      <c r="B6" s="11"/>
      <c r="C6" s="11"/>
      <c r="D6" s="11"/>
      <c r="E6" s="11"/>
      <c r="F6" s="11"/>
      <c r="G6" s="12" t="str">
        <f t="shared" ref="G6:G45" si="0">IF(B6="","",IF(D6="","Без команды","Назначен"))</f>
        <v/>
      </c>
      <c r="H6" s="13">
        <v>1</v>
      </c>
      <c r="I6" s="14" t="str">
        <f>IF(D6="","",INDEX(Команды!$X$6:$X$15,D6))</f>
        <v/>
      </c>
      <c r="J6" s="14" t="str">
        <f t="shared" ref="J6:J45" si="1">IF(OR(I6="",H6=""),"",I6*H6)</f>
        <v/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>
        <v>2</v>
      </c>
      <c r="B7" s="11"/>
      <c r="C7" s="11"/>
      <c r="D7" s="11"/>
      <c r="E7" s="11"/>
      <c r="F7" s="11"/>
      <c r="G7" s="12" t="str">
        <f t="shared" si="0"/>
        <v/>
      </c>
      <c r="H7" s="13">
        <v>1</v>
      </c>
      <c r="I7" s="14" t="str">
        <f>IF(D7="","",INDEX(Команды!$X$6:$X$15,D7))</f>
        <v/>
      </c>
      <c r="J7" s="14" t="str">
        <f t="shared" si="1"/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5">
        <v>3</v>
      </c>
      <c r="B8" s="11"/>
      <c r="C8" s="11"/>
      <c r="D8" s="11"/>
      <c r="E8" s="11"/>
      <c r="F8" s="11"/>
      <c r="G8" s="12" t="str">
        <f t="shared" si="0"/>
        <v/>
      </c>
      <c r="H8" s="13">
        <v>1</v>
      </c>
      <c r="I8" s="14" t="str">
        <f>IF(D8="","",INDEX(Команды!$X$6:$X$15,D8))</f>
        <v/>
      </c>
      <c r="J8" s="14" t="str">
        <f t="shared" si="1"/>
        <v/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5">
        <v>4</v>
      </c>
      <c r="B9" s="11"/>
      <c r="C9" s="11"/>
      <c r="D9" s="11"/>
      <c r="E9" s="11"/>
      <c r="F9" s="11"/>
      <c r="G9" s="12" t="str">
        <f t="shared" si="0"/>
        <v/>
      </c>
      <c r="H9" s="13">
        <v>1</v>
      </c>
      <c r="I9" s="14" t="str">
        <f>IF(D9="","",INDEX(Команды!$X$6:$X$15,D9))</f>
        <v/>
      </c>
      <c r="J9" s="14" t="str">
        <f t="shared" si="1"/>
        <v/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5">
        <v>5</v>
      </c>
      <c r="B10" s="11"/>
      <c r="C10" s="11"/>
      <c r="D10" s="11"/>
      <c r="E10" s="11"/>
      <c r="F10" s="11"/>
      <c r="G10" s="12" t="str">
        <f t="shared" si="0"/>
        <v/>
      </c>
      <c r="H10" s="13">
        <v>1</v>
      </c>
      <c r="I10" s="14" t="str">
        <f>IF(D10="","",INDEX(Команды!$X$6:$X$15,D10))</f>
        <v/>
      </c>
      <c r="J10" s="14" t="str">
        <f t="shared" si="1"/>
        <v/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5">
        <v>6</v>
      </c>
      <c r="B11" s="11"/>
      <c r="C11" s="11"/>
      <c r="D11" s="11"/>
      <c r="E11" s="11"/>
      <c r="F11" s="11"/>
      <c r="G11" s="12" t="str">
        <f t="shared" si="0"/>
        <v/>
      </c>
      <c r="H11" s="13">
        <v>1</v>
      </c>
      <c r="I11" s="14" t="str">
        <f>IF(D11="","",INDEX(Команды!$X$6:$X$15,D11))</f>
        <v/>
      </c>
      <c r="J11" s="14" t="str">
        <f t="shared" si="1"/>
        <v/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5">
        <v>7</v>
      </c>
      <c r="B12" s="11"/>
      <c r="C12" s="11"/>
      <c r="D12" s="11"/>
      <c r="E12" s="11"/>
      <c r="F12" s="11"/>
      <c r="G12" s="12" t="str">
        <f t="shared" si="0"/>
        <v/>
      </c>
      <c r="H12" s="13">
        <v>1</v>
      </c>
      <c r="I12" s="14" t="str">
        <f>IF(D12="","",INDEX(Команды!$X$6:$X$15,D12))</f>
        <v/>
      </c>
      <c r="J12" s="14" t="str">
        <f t="shared" si="1"/>
        <v/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5">
        <v>8</v>
      </c>
      <c r="B13" s="11"/>
      <c r="C13" s="11"/>
      <c r="D13" s="11"/>
      <c r="E13" s="11"/>
      <c r="F13" s="11"/>
      <c r="G13" s="12" t="str">
        <f t="shared" si="0"/>
        <v/>
      </c>
      <c r="H13" s="13">
        <v>1</v>
      </c>
      <c r="I13" s="14" t="str">
        <f>IF(D13="","",INDEX(Команды!$X$6:$X$15,D13))</f>
        <v/>
      </c>
      <c r="J13" s="14" t="str">
        <f t="shared" si="1"/>
        <v/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5">
        <v>9</v>
      </c>
      <c r="B14" s="11"/>
      <c r="C14" s="11"/>
      <c r="D14" s="11"/>
      <c r="E14" s="11"/>
      <c r="F14" s="11"/>
      <c r="G14" s="12" t="str">
        <f t="shared" si="0"/>
        <v/>
      </c>
      <c r="H14" s="13">
        <v>1</v>
      </c>
      <c r="I14" s="14" t="str">
        <f>IF(D14="","",INDEX(Команды!$X$6:$X$15,D14))</f>
        <v/>
      </c>
      <c r="J14" s="14" t="str">
        <f t="shared" si="1"/>
        <v/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5">
        <v>10</v>
      </c>
      <c r="B15" s="11"/>
      <c r="C15" s="11"/>
      <c r="D15" s="11"/>
      <c r="E15" s="11"/>
      <c r="F15" s="11"/>
      <c r="G15" s="12" t="str">
        <f t="shared" si="0"/>
        <v/>
      </c>
      <c r="H15" s="13">
        <v>1</v>
      </c>
      <c r="I15" s="14" t="str">
        <f>IF(D15="","",INDEX(Команды!$X$6:$X$15,D15))</f>
        <v/>
      </c>
      <c r="J15" s="14" t="str">
        <f t="shared" si="1"/>
        <v/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5">
        <v>11</v>
      </c>
      <c r="B16" s="11"/>
      <c r="C16" s="11"/>
      <c r="D16" s="11"/>
      <c r="E16" s="11"/>
      <c r="F16" s="11"/>
      <c r="G16" s="12" t="str">
        <f t="shared" si="0"/>
        <v/>
      </c>
      <c r="H16" s="13">
        <v>1</v>
      </c>
      <c r="I16" s="14" t="str">
        <f>IF(D16="","",INDEX(Команды!$X$6:$X$15,D16))</f>
        <v/>
      </c>
      <c r="J16" s="14" t="str">
        <f t="shared" si="1"/>
        <v/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5">
        <v>12</v>
      </c>
      <c r="B17" s="11"/>
      <c r="C17" s="11"/>
      <c r="D17" s="11"/>
      <c r="E17" s="11"/>
      <c r="F17" s="11"/>
      <c r="G17" s="12" t="str">
        <f t="shared" si="0"/>
        <v/>
      </c>
      <c r="H17" s="13">
        <v>1</v>
      </c>
      <c r="I17" s="14" t="str">
        <f>IF(D17="","",INDEX(Команды!$X$6:$X$15,D17))</f>
        <v/>
      </c>
      <c r="J17" s="14" t="str">
        <f t="shared" si="1"/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5">
        <v>13</v>
      </c>
      <c r="B18" s="11"/>
      <c r="C18" s="11"/>
      <c r="D18" s="11"/>
      <c r="E18" s="11"/>
      <c r="F18" s="11"/>
      <c r="G18" s="12" t="str">
        <f t="shared" si="0"/>
        <v/>
      </c>
      <c r="H18" s="13">
        <v>1</v>
      </c>
      <c r="I18" s="14" t="str">
        <f>IF(D18="","",INDEX(Команды!$X$6:$X$15,D18))</f>
        <v/>
      </c>
      <c r="J18" s="14" t="str">
        <f t="shared" si="1"/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5">
        <v>14</v>
      </c>
      <c r="B19" s="11"/>
      <c r="C19" s="11"/>
      <c r="D19" s="11"/>
      <c r="E19" s="11"/>
      <c r="F19" s="11"/>
      <c r="G19" s="12" t="str">
        <f t="shared" si="0"/>
        <v/>
      </c>
      <c r="H19" s="13">
        <v>1</v>
      </c>
      <c r="I19" s="14" t="str">
        <f>IF(D19="","",INDEX(Команды!$X$6:$X$15,D19))</f>
        <v/>
      </c>
      <c r="J19" s="14" t="str">
        <f t="shared" si="1"/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5">
        <v>15</v>
      </c>
      <c r="B20" s="11"/>
      <c r="C20" s="11"/>
      <c r="D20" s="11"/>
      <c r="E20" s="11"/>
      <c r="F20" s="11"/>
      <c r="G20" s="12" t="str">
        <f t="shared" si="0"/>
        <v/>
      </c>
      <c r="H20" s="13">
        <v>1</v>
      </c>
      <c r="I20" s="14" t="str">
        <f>IF(D20="","",INDEX(Команды!$X$6:$X$15,D20))</f>
        <v/>
      </c>
      <c r="J20" s="14" t="str">
        <f t="shared" si="1"/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5">
        <v>16</v>
      </c>
      <c r="B21" s="11"/>
      <c r="C21" s="11"/>
      <c r="D21" s="11"/>
      <c r="E21" s="11"/>
      <c r="F21" s="11"/>
      <c r="G21" s="12" t="str">
        <f t="shared" si="0"/>
        <v/>
      </c>
      <c r="H21" s="13">
        <v>1</v>
      </c>
      <c r="I21" s="14" t="str">
        <f>IF(D21="","",INDEX(Команды!$X$6:$X$15,D21))</f>
        <v/>
      </c>
      <c r="J21" s="14" t="str">
        <f t="shared" si="1"/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5">
        <v>17</v>
      </c>
      <c r="B22" s="11"/>
      <c r="C22" s="11"/>
      <c r="D22" s="11"/>
      <c r="E22" s="11"/>
      <c r="F22" s="11"/>
      <c r="G22" s="12" t="str">
        <f t="shared" si="0"/>
        <v/>
      </c>
      <c r="H22" s="13">
        <v>1</v>
      </c>
      <c r="I22" s="14" t="str">
        <f>IF(D22="","",INDEX(Команды!$X$6:$X$15,D22))</f>
        <v/>
      </c>
      <c r="J22" s="14" t="str">
        <f t="shared" si="1"/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5">
        <v>18</v>
      </c>
      <c r="B23" s="11"/>
      <c r="C23" s="11"/>
      <c r="D23" s="11"/>
      <c r="E23" s="11"/>
      <c r="F23" s="11"/>
      <c r="G23" s="12" t="str">
        <f t="shared" si="0"/>
        <v/>
      </c>
      <c r="H23" s="13">
        <v>1</v>
      </c>
      <c r="I23" s="14" t="str">
        <f>IF(D23="","",INDEX(Команды!$X$6:$X$15,D23))</f>
        <v/>
      </c>
      <c r="J23" s="14" t="str">
        <f t="shared" si="1"/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5">
        <v>19</v>
      </c>
      <c r="B24" s="11"/>
      <c r="C24" s="11"/>
      <c r="D24" s="11"/>
      <c r="E24" s="11"/>
      <c r="F24" s="11"/>
      <c r="G24" s="12" t="str">
        <f t="shared" si="0"/>
        <v/>
      </c>
      <c r="H24" s="13">
        <v>1</v>
      </c>
      <c r="I24" s="14" t="str">
        <f>IF(D24="","",INDEX(Команды!$X$6:$X$15,D24))</f>
        <v/>
      </c>
      <c r="J24" s="14" t="str">
        <f t="shared" si="1"/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5">
        <v>20</v>
      </c>
      <c r="B25" s="11"/>
      <c r="C25" s="11"/>
      <c r="D25" s="11"/>
      <c r="E25" s="11"/>
      <c r="F25" s="11"/>
      <c r="G25" s="12" t="str">
        <f t="shared" si="0"/>
        <v/>
      </c>
      <c r="H25" s="13">
        <v>1</v>
      </c>
      <c r="I25" s="14" t="str">
        <f>IF(D25="","",INDEX(Команды!$X$6:$X$15,D25))</f>
        <v/>
      </c>
      <c r="J25" s="14" t="str">
        <f t="shared" si="1"/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5">
        <v>21</v>
      </c>
      <c r="B26" s="11"/>
      <c r="C26" s="11"/>
      <c r="D26" s="11"/>
      <c r="E26" s="11"/>
      <c r="F26" s="11"/>
      <c r="G26" s="12" t="str">
        <f t="shared" si="0"/>
        <v/>
      </c>
      <c r="H26" s="13">
        <v>1</v>
      </c>
      <c r="I26" s="14" t="str">
        <f>IF(D26="","",INDEX(Команды!$X$6:$X$15,D26))</f>
        <v/>
      </c>
      <c r="J26" s="14" t="str">
        <f t="shared" si="1"/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5">
        <v>22</v>
      </c>
      <c r="B27" s="11"/>
      <c r="C27" s="11"/>
      <c r="D27" s="11"/>
      <c r="E27" s="11"/>
      <c r="F27" s="11"/>
      <c r="G27" s="12" t="str">
        <f t="shared" si="0"/>
        <v/>
      </c>
      <c r="H27" s="13">
        <v>1</v>
      </c>
      <c r="I27" s="14" t="str">
        <f>IF(D27="","",INDEX(Команды!$X$6:$X$15,D27))</f>
        <v/>
      </c>
      <c r="J27" s="14" t="str">
        <f t="shared" si="1"/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5">
        <v>23</v>
      </c>
      <c r="B28" s="11"/>
      <c r="C28" s="11"/>
      <c r="D28" s="11"/>
      <c r="E28" s="11"/>
      <c r="F28" s="11"/>
      <c r="G28" s="12" t="str">
        <f t="shared" si="0"/>
        <v/>
      </c>
      <c r="H28" s="13">
        <v>1</v>
      </c>
      <c r="I28" s="14" t="str">
        <f>IF(D28="","",INDEX(Команды!$X$6:$X$15,D28))</f>
        <v/>
      </c>
      <c r="J28" s="14" t="str">
        <f t="shared" si="1"/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5">
        <v>24</v>
      </c>
      <c r="B29" s="11"/>
      <c r="C29" s="11"/>
      <c r="D29" s="11"/>
      <c r="E29" s="11"/>
      <c r="F29" s="11"/>
      <c r="G29" s="12" t="str">
        <f t="shared" si="0"/>
        <v/>
      </c>
      <c r="H29" s="13">
        <v>1</v>
      </c>
      <c r="I29" s="14" t="str">
        <f>IF(D29="","",INDEX(Команды!$X$6:$X$15,D29))</f>
        <v/>
      </c>
      <c r="J29" s="14" t="str">
        <f t="shared" si="1"/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5">
        <v>25</v>
      </c>
      <c r="B30" s="11"/>
      <c r="C30" s="11"/>
      <c r="D30" s="11"/>
      <c r="E30" s="11"/>
      <c r="F30" s="11"/>
      <c r="G30" s="12" t="str">
        <f t="shared" si="0"/>
        <v/>
      </c>
      <c r="H30" s="13">
        <v>1</v>
      </c>
      <c r="I30" s="14" t="str">
        <f>IF(D30="","",INDEX(Команды!$X$6:$X$15,D30))</f>
        <v/>
      </c>
      <c r="J30" s="14" t="str">
        <f t="shared" si="1"/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5">
        <v>26</v>
      </c>
      <c r="B31" s="11"/>
      <c r="C31" s="11"/>
      <c r="D31" s="11"/>
      <c r="E31" s="11"/>
      <c r="F31" s="11"/>
      <c r="G31" s="12" t="str">
        <f t="shared" si="0"/>
        <v/>
      </c>
      <c r="H31" s="13">
        <v>1</v>
      </c>
      <c r="I31" s="14" t="str">
        <f>IF(D31="","",INDEX(Команды!$X$6:$X$15,D31))</f>
        <v/>
      </c>
      <c r="J31" s="14" t="str">
        <f t="shared" si="1"/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5">
        <v>27</v>
      </c>
      <c r="B32" s="11"/>
      <c r="C32" s="11"/>
      <c r="D32" s="11"/>
      <c r="E32" s="11"/>
      <c r="F32" s="11"/>
      <c r="G32" s="12" t="str">
        <f t="shared" si="0"/>
        <v/>
      </c>
      <c r="H32" s="13">
        <v>1</v>
      </c>
      <c r="I32" s="14" t="str">
        <f>IF(D32="","",INDEX(Команды!$X$6:$X$15,D32))</f>
        <v/>
      </c>
      <c r="J32" s="14" t="str">
        <f t="shared" si="1"/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5">
        <v>28</v>
      </c>
      <c r="B33" s="11"/>
      <c r="C33" s="11"/>
      <c r="D33" s="11"/>
      <c r="E33" s="11"/>
      <c r="F33" s="11"/>
      <c r="G33" s="12" t="str">
        <f t="shared" si="0"/>
        <v/>
      </c>
      <c r="H33" s="13">
        <v>1</v>
      </c>
      <c r="I33" s="14" t="str">
        <f>IF(D33="","",INDEX(Команды!$X$6:$X$15,D33))</f>
        <v/>
      </c>
      <c r="J33" s="14" t="str">
        <f t="shared" si="1"/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5">
        <v>29</v>
      </c>
      <c r="B34" s="11"/>
      <c r="C34" s="11"/>
      <c r="D34" s="11"/>
      <c r="E34" s="11"/>
      <c r="F34" s="11"/>
      <c r="G34" s="12" t="str">
        <f t="shared" si="0"/>
        <v/>
      </c>
      <c r="H34" s="13">
        <v>1</v>
      </c>
      <c r="I34" s="14" t="str">
        <f>IF(D34="","",INDEX(Команды!$X$6:$X$15,D34))</f>
        <v/>
      </c>
      <c r="J34" s="14" t="str">
        <f t="shared" si="1"/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5">
        <v>30</v>
      </c>
      <c r="B35" s="11"/>
      <c r="C35" s="11"/>
      <c r="D35" s="11"/>
      <c r="E35" s="11"/>
      <c r="F35" s="11"/>
      <c r="G35" s="12" t="str">
        <f t="shared" si="0"/>
        <v/>
      </c>
      <c r="H35" s="13">
        <v>1</v>
      </c>
      <c r="I35" s="14" t="str">
        <f>IF(D35="","",INDEX(Команды!$X$6:$X$15,D35))</f>
        <v/>
      </c>
      <c r="J35" s="14" t="str">
        <f t="shared" si="1"/>
        <v/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5">
        <v>31</v>
      </c>
      <c r="B36" s="11"/>
      <c r="C36" s="11"/>
      <c r="D36" s="11"/>
      <c r="E36" s="11"/>
      <c r="F36" s="11"/>
      <c r="G36" s="12" t="str">
        <f t="shared" si="0"/>
        <v/>
      </c>
      <c r="H36" s="13">
        <v>1</v>
      </c>
      <c r="I36" s="14" t="str">
        <f>IF(D36="","",INDEX(Команды!$X$6:$X$15,D36))</f>
        <v/>
      </c>
      <c r="J36" s="14" t="str">
        <f t="shared" si="1"/>
        <v/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5">
        <v>32</v>
      </c>
      <c r="B37" s="11"/>
      <c r="C37" s="11"/>
      <c r="D37" s="11"/>
      <c r="E37" s="11"/>
      <c r="F37" s="11"/>
      <c r="G37" s="12" t="str">
        <f t="shared" si="0"/>
        <v/>
      </c>
      <c r="H37" s="13">
        <v>1</v>
      </c>
      <c r="I37" s="14" t="str">
        <f>IF(D37="","",INDEX(Команды!$X$6:$X$15,D37))</f>
        <v/>
      </c>
      <c r="J37" s="14" t="str">
        <f t="shared" si="1"/>
        <v/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5">
        <v>33</v>
      </c>
      <c r="B38" s="11"/>
      <c r="C38" s="11"/>
      <c r="D38" s="11"/>
      <c r="E38" s="11"/>
      <c r="F38" s="11"/>
      <c r="G38" s="12" t="str">
        <f t="shared" si="0"/>
        <v/>
      </c>
      <c r="H38" s="13">
        <v>1</v>
      </c>
      <c r="I38" s="14" t="str">
        <f>IF(D38="","",INDEX(Команды!$X$6:$X$15,D38))</f>
        <v/>
      </c>
      <c r="J38" s="14" t="str">
        <f t="shared" si="1"/>
        <v/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5">
        <v>34</v>
      </c>
      <c r="B39" s="11"/>
      <c r="C39" s="11"/>
      <c r="D39" s="11"/>
      <c r="E39" s="11"/>
      <c r="F39" s="11"/>
      <c r="G39" s="12" t="str">
        <f t="shared" si="0"/>
        <v/>
      </c>
      <c r="H39" s="13">
        <v>1</v>
      </c>
      <c r="I39" s="14" t="str">
        <f>IF(D39="","",INDEX(Команды!$X$6:$X$15,D39))</f>
        <v/>
      </c>
      <c r="J39" s="14" t="str">
        <f t="shared" si="1"/>
        <v/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5">
        <v>35</v>
      </c>
      <c r="B40" s="11"/>
      <c r="C40" s="11"/>
      <c r="D40" s="11"/>
      <c r="E40" s="11"/>
      <c r="F40" s="11"/>
      <c r="G40" s="12" t="str">
        <f t="shared" si="0"/>
        <v/>
      </c>
      <c r="H40" s="13">
        <v>1</v>
      </c>
      <c r="I40" s="14" t="str">
        <f>IF(D40="","",INDEX(Команды!$X$6:$X$15,D40))</f>
        <v/>
      </c>
      <c r="J40" s="14" t="str">
        <f t="shared" si="1"/>
        <v/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5">
        <v>36</v>
      </c>
      <c r="B41" s="11"/>
      <c r="C41" s="11"/>
      <c r="D41" s="11"/>
      <c r="E41" s="11"/>
      <c r="F41" s="11"/>
      <c r="G41" s="12" t="str">
        <f t="shared" si="0"/>
        <v/>
      </c>
      <c r="H41" s="13">
        <v>1</v>
      </c>
      <c r="I41" s="14" t="str">
        <f>IF(D41="","",INDEX(Команды!$X$6:$X$15,D41))</f>
        <v/>
      </c>
      <c r="J41" s="14" t="str">
        <f t="shared" si="1"/>
        <v/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5">
        <v>37</v>
      </c>
      <c r="B42" s="11"/>
      <c r="C42" s="11"/>
      <c r="D42" s="11"/>
      <c r="E42" s="11"/>
      <c r="F42" s="11"/>
      <c r="G42" s="12" t="str">
        <f t="shared" si="0"/>
        <v/>
      </c>
      <c r="H42" s="13">
        <v>1</v>
      </c>
      <c r="I42" s="14" t="str">
        <f>IF(D42="","",INDEX(Команды!$X$6:$X$15,D42))</f>
        <v/>
      </c>
      <c r="J42" s="14" t="str">
        <f t="shared" si="1"/>
        <v/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5">
        <v>38</v>
      </c>
      <c r="B43" s="11"/>
      <c r="C43" s="11"/>
      <c r="D43" s="11"/>
      <c r="E43" s="11"/>
      <c r="F43" s="11"/>
      <c r="G43" s="12" t="str">
        <f t="shared" si="0"/>
        <v/>
      </c>
      <c r="H43" s="13">
        <v>1</v>
      </c>
      <c r="I43" s="14" t="str">
        <f>IF(D43="","",INDEX(Команды!$X$6:$X$15,D43))</f>
        <v/>
      </c>
      <c r="J43" s="14" t="str">
        <f t="shared" si="1"/>
        <v/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5">
        <v>39</v>
      </c>
      <c r="B44" s="11"/>
      <c r="C44" s="11"/>
      <c r="D44" s="11"/>
      <c r="E44" s="11"/>
      <c r="F44" s="11"/>
      <c r="G44" s="12" t="str">
        <f t="shared" si="0"/>
        <v/>
      </c>
      <c r="H44" s="13">
        <v>1</v>
      </c>
      <c r="I44" s="14" t="str">
        <f>IF(D44="","",INDEX(Команды!$X$6:$X$15,D44))</f>
        <v/>
      </c>
      <c r="J44" s="14" t="str">
        <f t="shared" si="1"/>
        <v/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5">
        <v>40</v>
      </c>
      <c r="B45" s="11"/>
      <c r="C45" s="11"/>
      <c r="D45" s="11"/>
      <c r="E45" s="11"/>
      <c r="F45" s="11"/>
      <c r="G45" s="12" t="str">
        <f t="shared" si="0"/>
        <v/>
      </c>
      <c r="H45" s="13">
        <v>1</v>
      </c>
      <c r="I45" s="14" t="str">
        <f>IF(D45="","",INDEX(Команды!$X$6:$X$15,D45))</f>
        <v/>
      </c>
      <c r="J45" s="14" t="str">
        <f t="shared" si="1"/>
        <v/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</sheetData>
  <conditionalFormatting sqref="G6:G45">
    <cfRule type="containsText" dxfId="2" priority="1" operator="containsText" text="Без команды"/>
  </conditionalFormatting>
  <dataValidations count="3">
    <dataValidation type="whole" sqref="D6:D45">
      <formula1>1</formula1>
      <formula2>10</formula2>
    </dataValidation>
    <dataValidation type="list" sqref="E6:E45">
      <formula1>"Release lead,Data and model engineer,Platform engineer,Quality and observability engineer,Risk reviewer"</formula1>
    </dataValidation>
    <dataValidation type="decimal" sqref="H6:H45">
      <formula1>0.7</formula1>
      <formula2>1.2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0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G6" sqref="G6"/>
    </sheetView>
  </sheetViews>
  <sheetFormatPr defaultRowHeight="13.8"/>
  <cols>
    <col min="1" max="2" width="9" customWidth="1"/>
    <col min="3" max="3" width="30" customWidth="1"/>
    <col min="4" max="4" width="12" customWidth="1"/>
    <col min="5" max="5" width="13" customWidth="1"/>
    <col min="6" max="6" width="34" customWidth="1"/>
    <col min="7" max="18" width="9" customWidth="1"/>
    <col min="19" max="22" width="13" customWidth="1"/>
    <col min="23" max="23" width="30" customWidth="1"/>
    <col min="24" max="24" width="1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 customHeight="1">
      <c r="A2" s="2" t="s">
        <v>40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41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4" customHeight="1">
      <c r="A5" s="4" t="s">
        <v>33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50</v>
      </c>
      <c r="K5" s="4" t="s">
        <v>51</v>
      </c>
      <c r="L5" s="4" t="s">
        <v>52</v>
      </c>
      <c r="M5" s="4" t="s">
        <v>53</v>
      </c>
      <c r="N5" s="4" t="s">
        <v>54</v>
      </c>
      <c r="O5" s="4" t="s">
        <v>55</v>
      </c>
      <c r="P5" s="4" t="s">
        <v>56</v>
      </c>
      <c r="Q5" s="4" t="s">
        <v>57</v>
      </c>
      <c r="R5" s="4" t="s">
        <v>58</v>
      </c>
      <c r="S5" s="4" t="s">
        <v>59</v>
      </c>
      <c r="T5" s="4" t="s">
        <v>60</v>
      </c>
      <c r="U5" s="4" t="s">
        <v>61</v>
      </c>
      <c r="V5" s="4" t="s">
        <v>62</v>
      </c>
      <c r="W5" s="4" t="s">
        <v>63</v>
      </c>
      <c r="X5" s="4" t="s">
        <v>64</v>
      </c>
      <c r="Y5" s="1"/>
      <c r="Z5" s="1"/>
    </row>
    <row r="6" spans="1:26">
      <c r="A6" s="5">
        <v>1</v>
      </c>
      <c r="B6" s="11"/>
      <c r="C6" s="11"/>
      <c r="D6" s="6">
        <f>COUNTIF(Студенты!$D$6:$D$45,A6)</f>
        <v>0</v>
      </c>
      <c r="E6" s="6" t="str">
        <f t="shared" ref="E6:E15" si="0">IF(D6=0,"",IF(AND(D6&gt;=2,D6&lt;=5),"OK","Проверить"))</f>
        <v/>
      </c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4" t="str">
        <f t="shared" ref="X6:X15" si="1">IF(COUNT(G6:V6)=0,"",AVERAGE(G6:V6))</f>
        <v/>
      </c>
      <c r="Y6" s="1"/>
      <c r="Z6" s="1"/>
    </row>
    <row r="7" spans="1:26">
      <c r="A7" s="5">
        <v>2</v>
      </c>
      <c r="B7" s="11"/>
      <c r="C7" s="11"/>
      <c r="D7" s="6">
        <f>COUNTIF(Студенты!$D$6:$D$45,A7)</f>
        <v>0</v>
      </c>
      <c r="E7" s="6" t="str">
        <f t="shared" si="0"/>
        <v/>
      </c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4" t="str">
        <f t="shared" si="1"/>
        <v/>
      </c>
      <c r="Y7" s="1"/>
      <c r="Z7" s="1"/>
    </row>
    <row r="8" spans="1:26">
      <c r="A8" s="5">
        <v>3</v>
      </c>
      <c r="B8" s="11"/>
      <c r="C8" s="11"/>
      <c r="D8" s="6">
        <f>COUNTIF(Студенты!$D$6:$D$45,A8)</f>
        <v>0</v>
      </c>
      <c r="E8" s="6" t="str">
        <f t="shared" si="0"/>
        <v/>
      </c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4" t="str">
        <f t="shared" si="1"/>
        <v/>
      </c>
      <c r="Y8" s="1"/>
      <c r="Z8" s="1"/>
    </row>
    <row r="9" spans="1:26">
      <c r="A9" s="5">
        <v>4</v>
      </c>
      <c r="B9" s="11"/>
      <c r="C9" s="11"/>
      <c r="D9" s="6">
        <f>COUNTIF(Студенты!$D$6:$D$45,A9)</f>
        <v>0</v>
      </c>
      <c r="E9" s="6" t="str">
        <f t="shared" si="0"/>
        <v/>
      </c>
      <c r="F9" s="11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4" t="str">
        <f t="shared" si="1"/>
        <v/>
      </c>
      <c r="Y9" s="1"/>
      <c r="Z9" s="1"/>
    </row>
    <row r="10" spans="1:26">
      <c r="A10" s="5">
        <v>5</v>
      </c>
      <c r="B10" s="11"/>
      <c r="C10" s="11"/>
      <c r="D10" s="6">
        <f>COUNTIF(Студенты!$D$6:$D$45,A10)</f>
        <v>0</v>
      </c>
      <c r="E10" s="6" t="str">
        <f t="shared" si="0"/>
        <v/>
      </c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4" t="str">
        <f t="shared" si="1"/>
        <v/>
      </c>
      <c r="Y10" s="1"/>
      <c r="Z10" s="1"/>
    </row>
    <row r="11" spans="1:26">
      <c r="A11" s="5">
        <v>6</v>
      </c>
      <c r="B11" s="11"/>
      <c r="C11" s="11"/>
      <c r="D11" s="6">
        <f>COUNTIF(Студенты!$D$6:$D$45,A11)</f>
        <v>0</v>
      </c>
      <c r="E11" s="6" t="str">
        <f t="shared" si="0"/>
        <v/>
      </c>
      <c r="F11" s="11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4" t="str">
        <f t="shared" si="1"/>
        <v/>
      </c>
      <c r="Y11" s="1"/>
      <c r="Z11" s="1"/>
    </row>
    <row r="12" spans="1:26">
      <c r="A12" s="5">
        <v>7</v>
      </c>
      <c r="B12" s="11"/>
      <c r="C12" s="11"/>
      <c r="D12" s="6">
        <f>COUNTIF(Студенты!$D$6:$D$45,A12)</f>
        <v>0</v>
      </c>
      <c r="E12" s="6" t="str">
        <f t="shared" si="0"/>
        <v/>
      </c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4" t="str">
        <f t="shared" si="1"/>
        <v/>
      </c>
      <c r="Y12" s="1"/>
      <c r="Z12" s="1"/>
    </row>
    <row r="13" spans="1:26">
      <c r="A13" s="5">
        <v>8</v>
      </c>
      <c r="B13" s="11"/>
      <c r="C13" s="11"/>
      <c r="D13" s="6">
        <f>COUNTIF(Студенты!$D$6:$D$45,A13)</f>
        <v>0</v>
      </c>
      <c r="E13" s="6" t="str">
        <f t="shared" si="0"/>
        <v/>
      </c>
      <c r="F13" s="11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4" t="str">
        <f t="shared" si="1"/>
        <v/>
      </c>
      <c r="Y13" s="1"/>
      <c r="Z13" s="1"/>
    </row>
    <row r="14" spans="1:26">
      <c r="A14" s="5">
        <v>9</v>
      </c>
      <c r="B14" s="11"/>
      <c r="C14" s="11"/>
      <c r="D14" s="6">
        <f>COUNTIF(Студенты!$D$6:$D$45,A14)</f>
        <v>0</v>
      </c>
      <c r="E14" s="6" t="str">
        <f t="shared" si="0"/>
        <v/>
      </c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4" t="str">
        <f t="shared" si="1"/>
        <v/>
      </c>
      <c r="Y14" s="1"/>
      <c r="Z14" s="1"/>
    </row>
    <row r="15" spans="1:26">
      <c r="A15" s="5">
        <v>10</v>
      </c>
      <c r="B15" s="11"/>
      <c r="C15" s="11"/>
      <c r="D15" s="6">
        <f>COUNTIF(Студенты!$D$6:$D$45,A15)</f>
        <v>0</v>
      </c>
      <c r="E15" s="6" t="str">
        <f t="shared" si="0"/>
        <v/>
      </c>
      <c r="F15" s="11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4" t="str">
        <f t="shared" si="1"/>
        <v/>
      </c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</sheetData>
  <conditionalFormatting sqref="E6:E15">
    <cfRule type="containsText" dxfId="1" priority="1" operator="containsText" text="Проверить"/>
    <cfRule type="containsText" dxfId="0" priority="2" operator="containsText" text="OK"/>
  </conditionalFormatting>
  <dataValidations count="2">
    <dataValidation type="list" sqref="B6:B15">
      <formula1>"A,B,C,D,E,F,G,H,Резерв"</formula1>
    </dataValidation>
    <dataValidation type="decimal" sqref="G6:V15">
      <formula1>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0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6" customWidth="1"/>
    <col min="2" max="2" width="34" customWidth="1"/>
    <col min="3" max="3" width="38" customWidth="1"/>
    <col min="4" max="4" width="42" customWidth="1"/>
    <col min="5" max="5" width="10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 customHeight="1">
      <c r="A2" s="2" t="s">
        <v>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" t="s">
        <v>30</v>
      </c>
      <c r="B5" s="4" t="s">
        <v>66</v>
      </c>
      <c r="C5" s="4" t="s">
        <v>67</v>
      </c>
      <c r="D5" s="4" t="s">
        <v>68</v>
      </c>
      <c r="E5" s="4" t="s">
        <v>69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4">
      <c r="A6" s="15">
        <v>1</v>
      </c>
      <c r="B6" s="15" t="s">
        <v>70</v>
      </c>
      <c r="C6" s="15" t="s">
        <v>71</v>
      </c>
      <c r="D6" s="15" t="s">
        <v>72</v>
      </c>
      <c r="E6" s="15">
        <v>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5">
        <v>2</v>
      </c>
      <c r="B7" s="15" t="s">
        <v>73</v>
      </c>
      <c r="C7" s="15" t="s">
        <v>74</v>
      </c>
      <c r="D7" s="15" t="s">
        <v>75</v>
      </c>
      <c r="E7" s="15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4">
      <c r="A8" s="15">
        <v>3</v>
      </c>
      <c r="B8" s="15" t="s">
        <v>76</v>
      </c>
      <c r="C8" s="15" t="s">
        <v>77</v>
      </c>
      <c r="D8" s="15" t="s">
        <v>78</v>
      </c>
      <c r="E8" s="15">
        <v>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5">
        <v>4</v>
      </c>
      <c r="B9" s="15" t="s">
        <v>79</v>
      </c>
      <c r="C9" s="15" t="s">
        <v>80</v>
      </c>
      <c r="D9" s="15" t="s">
        <v>81</v>
      </c>
      <c r="E9" s="15">
        <v>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4" customHeight="1">
      <c r="A10" s="15">
        <v>5</v>
      </c>
      <c r="B10" s="15" t="s">
        <v>82</v>
      </c>
      <c r="C10" s="15" t="s">
        <v>83</v>
      </c>
      <c r="D10" s="15" t="s">
        <v>84</v>
      </c>
      <c r="E10" s="15">
        <v>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4">
      <c r="A11" s="15">
        <v>6</v>
      </c>
      <c r="B11" s="15" t="s">
        <v>85</v>
      </c>
      <c r="C11" s="15" t="s">
        <v>86</v>
      </c>
      <c r="D11" s="15" t="s">
        <v>87</v>
      </c>
      <c r="E11" s="15">
        <v>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5">
        <v>7</v>
      </c>
      <c r="B12" s="15" t="s">
        <v>88</v>
      </c>
      <c r="C12" s="15" t="s">
        <v>89</v>
      </c>
      <c r="D12" s="15" t="s">
        <v>90</v>
      </c>
      <c r="E12" s="15">
        <v>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4" customHeight="1">
      <c r="A13" s="15">
        <v>8</v>
      </c>
      <c r="B13" s="15" t="s">
        <v>91</v>
      </c>
      <c r="C13" s="15" t="s">
        <v>92</v>
      </c>
      <c r="D13" s="15" t="s">
        <v>93</v>
      </c>
      <c r="E13" s="15">
        <v>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4">
      <c r="A14" s="15">
        <v>9</v>
      </c>
      <c r="B14" s="15" t="s">
        <v>94</v>
      </c>
      <c r="C14" s="15" t="s">
        <v>95</v>
      </c>
      <c r="D14" s="15" t="s">
        <v>96</v>
      </c>
      <c r="E14" s="15">
        <v>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5">
        <v>10</v>
      </c>
      <c r="B15" s="15" t="s">
        <v>97</v>
      </c>
      <c r="C15" s="15" t="s">
        <v>98</v>
      </c>
      <c r="D15" s="15" t="s">
        <v>99</v>
      </c>
      <c r="E15" s="15">
        <v>10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5">
        <v>11</v>
      </c>
      <c r="B16" s="15" t="s">
        <v>100</v>
      </c>
      <c r="C16" s="15" t="s">
        <v>101</v>
      </c>
      <c r="D16" s="15" t="s">
        <v>102</v>
      </c>
      <c r="E16" s="15">
        <v>11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5">
        <v>12</v>
      </c>
      <c r="B17" s="15" t="s">
        <v>103</v>
      </c>
      <c r="C17" s="15" t="s">
        <v>104</v>
      </c>
      <c r="D17" s="15" t="s">
        <v>105</v>
      </c>
      <c r="E17" s="15">
        <v>12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4">
      <c r="A18" s="15">
        <v>13</v>
      </c>
      <c r="B18" s="15" t="s">
        <v>106</v>
      </c>
      <c r="C18" s="15" t="s">
        <v>107</v>
      </c>
      <c r="D18" s="15" t="s">
        <v>108</v>
      </c>
      <c r="E18" s="15">
        <v>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4" customHeight="1">
      <c r="A19" s="15">
        <v>14</v>
      </c>
      <c r="B19" s="15" t="s">
        <v>109</v>
      </c>
      <c r="C19" s="15" t="s">
        <v>110</v>
      </c>
      <c r="D19" s="15" t="s">
        <v>111</v>
      </c>
      <c r="E19" s="15">
        <v>14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4">
      <c r="A20" s="15">
        <v>15</v>
      </c>
      <c r="B20" s="15" t="s">
        <v>112</v>
      </c>
      <c r="C20" s="15" t="s">
        <v>113</v>
      </c>
      <c r="D20" s="15" t="s">
        <v>114</v>
      </c>
      <c r="E20" s="15">
        <v>15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4">
      <c r="A21" s="15">
        <v>16</v>
      </c>
      <c r="B21" s="15" t="s">
        <v>115</v>
      </c>
      <c r="C21" s="15" t="s">
        <v>116</v>
      </c>
      <c r="D21" s="15" t="s">
        <v>117</v>
      </c>
      <c r="E21" s="15">
        <v>16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Сводка</vt:lpstr>
      <vt:lpstr>Студенты</vt:lpstr>
      <vt:lpstr>Команды</vt:lpstr>
      <vt:lpstr>Лабораторные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2026-10-20T23:01:05Z</dcterms:created>
  <dcterms:modified xsi:type="dcterms:W3CDTF">2026-10-20T23:01:56Z</dcterms:modified>
</cp:coreProperties>
</file>